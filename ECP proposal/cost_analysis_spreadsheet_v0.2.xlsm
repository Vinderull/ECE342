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ull_space\Documents\GitHub\ECE342\ECP proposal\"/>
    </mc:Choice>
  </mc:AlternateContent>
  <bookViews>
    <workbookView xWindow="240" yWindow="90" windowWidth="2835" windowHeight="9225" activeTab="2" xr2:uid="{00000000-000D-0000-FFFF-FFFF00000000}"/>
  </bookViews>
  <sheets>
    <sheet name="NRE Costs" sheetId="1" r:id="rId1"/>
    <sheet name="Component Costs" sheetId="2" r:id="rId2"/>
    <sheet name="Assembly Costs" sheetId="3" r:id="rId3"/>
    <sheet name="Pricing" sheetId="4" r:id="rId4"/>
  </sheets>
  <calcPr calcId="171027"/>
</workbook>
</file>

<file path=xl/calcChain.xml><?xml version="1.0" encoding="utf-8"?>
<calcChain xmlns="http://schemas.openxmlformats.org/spreadsheetml/2006/main">
  <c r="A8" i="3" l="1"/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4" i="3"/>
  <c r="D3" i="3"/>
  <c r="A5" i="3"/>
  <c r="A6" i="3"/>
  <c r="A7" i="3"/>
  <c r="A9" i="3"/>
  <c r="A10" i="3"/>
  <c r="A11" i="3"/>
  <c r="A12" i="3"/>
  <c r="A13" i="3"/>
  <c r="A14" i="3"/>
  <c r="A15" i="3"/>
  <c r="A16" i="3"/>
  <c r="A17" i="3"/>
  <c r="A4" i="3"/>
  <c r="A3" i="3"/>
  <c r="C4" i="3" l="1"/>
  <c r="E4" i="3" s="1"/>
  <c r="C5" i="3"/>
  <c r="E5" i="3" s="1"/>
  <c r="C6" i="3"/>
  <c r="E6" i="3" s="1"/>
  <c r="C7" i="3"/>
  <c r="E7" i="3" s="1"/>
  <c r="C8" i="3"/>
  <c r="E8" i="3" s="1"/>
  <c r="C9" i="3"/>
  <c r="E9" i="3" s="1"/>
  <c r="C10" i="3"/>
  <c r="E10" i="3" s="1"/>
  <c r="C11" i="3"/>
  <c r="E11" i="3" s="1"/>
  <c r="C12" i="3"/>
  <c r="E12" i="3" s="1"/>
  <c r="C13" i="3"/>
  <c r="E13" i="3" s="1"/>
  <c r="C14" i="3"/>
  <c r="E14" i="3" s="1"/>
  <c r="C15" i="3"/>
  <c r="E15" i="3" s="1"/>
  <c r="C16" i="3"/>
  <c r="E16" i="3" s="1"/>
  <c r="C17" i="3"/>
  <c r="E17" i="3" s="1"/>
  <c r="C3" i="3"/>
  <c r="E3" i="3" s="1"/>
  <c r="B20" i="2"/>
  <c r="B22" i="2" s="1"/>
  <c r="B21" i="2"/>
  <c r="D18" i="2"/>
  <c r="D4" i="2"/>
  <c r="D6" i="2"/>
  <c r="D15" i="2"/>
  <c r="D5" i="2"/>
  <c r="D12" i="2"/>
  <c r="D16" i="2"/>
  <c r="D7" i="2"/>
  <c r="D13" i="2"/>
  <c r="D14" i="2"/>
  <c r="D8" i="2"/>
  <c r="D9" i="2"/>
  <c r="D11" i="2"/>
  <c r="D10" i="2"/>
  <c r="D3" i="2"/>
  <c r="B10" i="1"/>
  <c r="B13" i="1" s="1"/>
  <c r="B2" i="4" s="1"/>
  <c r="B19" i="3" l="1"/>
  <c r="B22" i="3" s="1"/>
  <c r="B23" i="2"/>
  <c r="B26" i="2"/>
  <c r="B3" i="4" l="1"/>
  <c r="B4" i="4" s="1"/>
  <c r="B7" i="4" s="1"/>
  <c r="B8" i="4" s="1"/>
</calcChain>
</file>

<file path=xl/sharedStrings.xml><?xml version="1.0" encoding="utf-8"?>
<sst xmlns="http://schemas.openxmlformats.org/spreadsheetml/2006/main" count="100" uniqueCount="69">
  <si>
    <t>Table 1: NRE Costs</t>
  </si>
  <si>
    <t>NRE Factors</t>
  </si>
  <si>
    <t>Salary</t>
  </si>
  <si>
    <t>Health Cost</t>
  </si>
  <si>
    <t>Social Security/Medicaid</t>
  </si>
  <si>
    <t>Sick Leave/Holidays</t>
  </si>
  <si>
    <t>401k Contribution</t>
  </si>
  <si>
    <t>Overhead</t>
  </si>
  <si>
    <t>Total per Hour</t>
  </si>
  <si>
    <t># Hours Worked on Project</t>
  </si>
  <si>
    <t># Employees on Project</t>
  </si>
  <si>
    <t>TOTAL NRE COSTS</t>
  </si>
  <si>
    <t>Price per Hour</t>
  </si>
  <si>
    <t>Table 2: Cost to Purchase Components</t>
  </si>
  <si>
    <t>Component</t>
  </si>
  <si>
    <t>Price/Unit</t>
  </si>
  <si>
    <t>Price for 1000 Circuits</t>
  </si>
  <si>
    <t>2N7000FS-ND MOSFET</t>
  </si>
  <si>
    <t>LF351DT MOSFET</t>
  </si>
  <si>
    <t>Quantity/Circuit</t>
  </si>
  <si>
    <t>OP999 PHOTODIODE</t>
  </si>
  <si>
    <t>CERAMIC CAPACITOR 10UF</t>
  </si>
  <si>
    <t>PCB BOARD (3"x4")</t>
  </si>
  <si>
    <t>Cost of Components</t>
  </si>
  <si>
    <t>Shipping Cost</t>
  </si>
  <si>
    <t>Sales Tax</t>
  </si>
  <si>
    <t>Total Cost per Circuit</t>
  </si>
  <si>
    <t>Table 3: Assembly Costs</t>
  </si>
  <si>
    <t># of Connections</t>
  </si>
  <si>
    <t>Cost per Component</t>
  </si>
  <si>
    <t>20K OHM 1/4W RESISTOR</t>
  </si>
  <si>
    <t>Cost per Component to Connect</t>
  </si>
  <si>
    <t>Total Connection Costs</t>
  </si>
  <si>
    <t>Cost to Test per Circuit</t>
  </si>
  <si>
    <t>Table 4: Determining Selling Price</t>
  </si>
  <si>
    <t>NRE Costs</t>
  </si>
  <si>
    <t>Manufacturing Costs</t>
  </si>
  <si>
    <t>Sales/Marketing</t>
  </si>
  <si>
    <t>Profit Margin</t>
  </si>
  <si>
    <t>TOTAL SELLING PRICE</t>
  </si>
  <si>
    <t>PRICE PER CIRCUIT</t>
  </si>
  <si>
    <t>TOTAL ASSEMBLY COSTS</t>
  </si>
  <si>
    <t>TOTAL COMPONENT PURCHASING COSTS</t>
  </si>
  <si>
    <t>&lt;---</t>
  </si>
  <si>
    <t># of students in lab group</t>
  </si>
  <si>
    <t>Prices are taken from Digikey, you will have to pull these numbers yourself. Maybe a future version of this spreadsheet will query Digikey/Mouser to grab component values…</t>
  </si>
  <si>
    <t>5.5% sales tax</t>
  </si>
  <si>
    <t>$0.000445 for shipping per component</t>
  </si>
  <si>
    <t>This should be changed based on the lab group</t>
  </si>
  <si>
    <t>Number of Circuits to be Built</t>
  </si>
  <si>
    <t>Author: Seth Raymond</t>
  </si>
  <si>
    <t>University of Maine</t>
  </si>
  <si>
    <t>ECE214/342 Cost Analysis Spreadsheet</t>
  </si>
  <si>
    <t>Standard Industry Values - make modifications to how you see fit</t>
  </si>
  <si>
    <t>Change this value</t>
  </si>
  <si>
    <t>These values auto-update</t>
  </si>
  <si>
    <t>If there's a note like this, you're probably going to have to change something.</t>
  </si>
  <si>
    <t>If there's a note like this, it's probably taken care of for you.</t>
  </si>
  <si>
    <t>Assumes cost per connection to be $0.0033, industry standard. Components and quantity/circuit auto-update from the 'Component Costs' tab, total assembly costs takes number of circuits specified in 'Component Costs' tab into account.</t>
  </si>
  <si>
    <t>v0.2</t>
  </si>
  <si>
    <t>CERAMIC CAPACITOR 470PF</t>
  </si>
  <si>
    <t>LF347 OP AMP</t>
  </si>
  <si>
    <t>170K OHM 1/4W RESISTOR</t>
  </si>
  <si>
    <t>2.7K OHM 1/4W RESISTOR</t>
  </si>
  <si>
    <t>4.3K OHM 1/4W RESISTOR</t>
  </si>
  <si>
    <t>160K OHM 1/4W RESISTOR</t>
  </si>
  <si>
    <t>100K OHM 1/4W RESISTOR</t>
  </si>
  <si>
    <t>CERAMIC CAPACITOR 10NF</t>
  </si>
  <si>
    <t>CERAMIC CAPACITOR 2UF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</si>
</sst>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.0000_);[Red]\(&quot;$&quot;#,##0.0000\)"/>
    <numFmt numFmtId="166" formatCode="&quot;$&quot;#,##0.00000_);[Red]\(&quot;$&quot;#,##0.00000\)"/>
    <numFmt numFmtId="167" formatCode="&quot;$&quot;#,##0.0000"/>
    <numFmt numFmtId="168" formatCode="&quot;$&quot;#,##0.0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2">
    <xf numFmtId="0" fontId="0" fillId="0" borderId="0" xfId="0"/>
    <xf numFmtId="8" fontId="0" fillId="0" borderId="0" xfId="0" applyNumberFormat="1"/>
    <xf numFmtId="164" fontId="0" fillId="0" borderId="0" xfId="0" applyNumberFormat="1"/>
    <xf numFmtId="0" fontId="2" fillId="0" borderId="1" xfId="0" applyFont="1" applyBorder="1" applyAlignment="1">
      <alignment horizontal="center"/>
    </xf>
    <xf numFmtId="0" fontId="0" fillId="0" borderId="1" xfId="0" applyBorder="1"/>
    <xf numFmtId="8" fontId="0" fillId="0" borderId="1" xfId="0" applyNumberFormat="1" applyBorder="1"/>
    <xf numFmtId="0" fontId="2" fillId="0" borderId="1" xfId="0" applyFont="1" applyBorder="1"/>
    <xf numFmtId="8" fontId="2" fillId="0" borderId="1" xfId="0" applyNumberFormat="1" applyFont="1" applyBorder="1" applyAlignment="1">
      <alignment horizontal="right"/>
    </xf>
    <xf numFmtId="0" fontId="0" fillId="0" borderId="1" xfId="0" applyBorder="1" applyAlignment="1">
      <alignment horizontal="center"/>
    </xf>
    <xf numFmtId="166" fontId="0" fillId="0" borderId="1" xfId="0" applyNumberFormat="1" applyBorder="1"/>
    <xf numFmtId="165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8" fontId="0" fillId="0" borderId="1" xfId="0" applyNumberFormat="1" applyBorder="1"/>
    <xf numFmtId="167" fontId="0" fillId="0" borderId="1" xfId="0" applyNumberFormat="1" applyBorder="1" applyAlignment="1">
      <alignment horizontal="center"/>
    </xf>
    <xf numFmtId="8" fontId="0" fillId="0" borderId="1" xfId="0" applyNumberFormat="1" applyBorder="1" applyAlignment="1">
      <alignment horizontal="center"/>
    </xf>
    <xf numFmtId="8" fontId="2" fillId="0" borderId="1" xfId="0" applyNumberFormat="1" applyFont="1" applyBorder="1" applyAlignment="1">
      <alignment horizontal="center"/>
    </xf>
    <xf numFmtId="9" fontId="0" fillId="0" borderId="1" xfId="0" applyNumberFormat="1" applyBorder="1"/>
    <xf numFmtId="0" fontId="0" fillId="2" borderId="0" xfId="0" applyFill="1"/>
    <xf numFmtId="0" fontId="5" fillId="2" borderId="0" xfId="0" applyFont="1" applyFill="1"/>
    <xf numFmtId="0" fontId="0" fillId="0" borderId="1" xfId="0" applyNumberFormat="1" applyBorder="1"/>
    <xf numFmtId="0" fontId="4" fillId="3" borderId="0" xfId="0" applyFont="1" applyFill="1"/>
    <xf numFmtId="0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67" fontId="2" fillId="0" borderId="1" xfId="1" applyNumberFormat="1" applyFon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0" fillId="0" borderId="0" xfId="0" applyFill="1"/>
    <xf numFmtId="164" fontId="2" fillId="0" borderId="1" xfId="0" applyNumberFormat="1" applyFont="1" applyBorder="1" applyAlignment="1">
      <alignment horizontal="center" vertical="center"/>
    </xf>
    <xf numFmtId="0" fontId="0" fillId="0" borderId="0" xfId="0" applyFill="1" applyAlignment="1">
      <alignment wrapText="1"/>
    </xf>
    <xf numFmtId="0" fontId="4" fillId="0" borderId="0" xfId="0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workbookViewId="0">
      <selection activeCell="H16" sqref="H16"/>
    </sheetView>
  </sheetViews>
  <sheetFormatPr defaultRowHeight="15" x14ac:dyDescent="0.25"/>
  <cols>
    <col min="1" max="1" width="24.85546875" bestFit="1" customWidth="1"/>
    <col min="2" max="2" width="13.7109375" bestFit="1" customWidth="1"/>
    <col min="12" max="12" width="9" customWidth="1"/>
  </cols>
  <sheetData>
    <row r="1" spans="1:9" ht="17.25" customHeight="1" x14ac:dyDescent="0.25">
      <c r="A1" s="36" t="s">
        <v>0</v>
      </c>
      <c r="B1" s="37"/>
    </row>
    <row r="2" spans="1:9" x14ac:dyDescent="0.25">
      <c r="A2" s="3" t="s">
        <v>1</v>
      </c>
      <c r="B2" s="3" t="s">
        <v>12</v>
      </c>
    </row>
    <row r="3" spans="1:9" x14ac:dyDescent="0.25">
      <c r="A3" s="4" t="s">
        <v>2</v>
      </c>
      <c r="B3" s="5">
        <v>35</v>
      </c>
      <c r="D3" s="17" t="s">
        <v>43</v>
      </c>
      <c r="E3" s="38" t="s">
        <v>53</v>
      </c>
      <c r="F3" s="38"/>
      <c r="G3" s="38"/>
    </row>
    <row r="4" spans="1:9" ht="15" customHeight="1" x14ac:dyDescent="0.25">
      <c r="A4" s="4" t="s">
        <v>3</v>
      </c>
      <c r="B4" s="5">
        <v>8</v>
      </c>
      <c r="D4" s="17" t="s">
        <v>43</v>
      </c>
      <c r="E4" s="38"/>
      <c r="F4" s="38"/>
      <c r="G4" s="38"/>
    </row>
    <row r="5" spans="1:9" x14ac:dyDescent="0.25">
      <c r="A5" s="4" t="s">
        <v>4</v>
      </c>
      <c r="B5" s="5">
        <v>3</v>
      </c>
      <c r="D5" s="17" t="s">
        <v>43</v>
      </c>
      <c r="E5" s="38"/>
      <c r="F5" s="38"/>
      <c r="G5" s="38"/>
    </row>
    <row r="6" spans="1:9" x14ac:dyDescent="0.25">
      <c r="A6" s="4" t="s">
        <v>5</v>
      </c>
      <c r="B6" s="5">
        <v>4</v>
      </c>
      <c r="D6" s="17" t="s">
        <v>43</v>
      </c>
      <c r="E6" s="38"/>
      <c r="F6" s="38"/>
      <c r="G6" s="38"/>
    </row>
    <row r="7" spans="1:9" x14ac:dyDescent="0.25">
      <c r="A7" s="4" t="s">
        <v>6</v>
      </c>
      <c r="B7" s="5">
        <v>5</v>
      </c>
      <c r="D7" s="17" t="s">
        <v>43</v>
      </c>
      <c r="E7" s="38"/>
      <c r="F7" s="38"/>
      <c r="G7" s="38"/>
    </row>
    <row r="8" spans="1:9" x14ac:dyDescent="0.25">
      <c r="A8" s="4" t="s">
        <v>7</v>
      </c>
      <c r="B8" s="5">
        <v>66</v>
      </c>
      <c r="D8" s="17" t="s">
        <v>43</v>
      </c>
      <c r="E8" s="38"/>
      <c r="F8" s="38"/>
      <c r="G8" s="38"/>
    </row>
    <row r="9" spans="1:9" x14ac:dyDescent="0.25">
      <c r="A9" s="4"/>
      <c r="B9" s="4"/>
    </row>
    <row r="10" spans="1:9" x14ac:dyDescent="0.25">
      <c r="A10" s="4" t="s">
        <v>8</v>
      </c>
      <c r="B10" s="5">
        <f>B3+B4+B5+B6+B7+B8</f>
        <v>121</v>
      </c>
    </row>
    <row r="11" spans="1:9" x14ac:dyDescent="0.25">
      <c r="A11" s="4" t="s">
        <v>9</v>
      </c>
      <c r="B11" s="19">
        <v>26</v>
      </c>
      <c r="D11" s="20" t="s">
        <v>43</v>
      </c>
      <c r="E11" s="39" t="s">
        <v>48</v>
      </c>
      <c r="F11" s="39"/>
      <c r="G11" s="39"/>
      <c r="H11" s="39"/>
      <c r="I11" s="39"/>
    </row>
    <row r="12" spans="1:9" ht="15" customHeight="1" x14ac:dyDescent="0.25">
      <c r="A12" s="4" t="s">
        <v>10</v>
      </c>
      <c r="B12" s="4">
        <v>2</v>
      </c>
      <c r="D12" s="17" t="s">
        <v>43</v>
      </c>
      <c r="E12" s="38" t="s">
        <v>44</v>
      </c>
      <c r="F12" s="38"/>
      <c r="G12" s="38"/>
      <c r="H12" s="38"/>
      <c r="I12" s="38"/>
    </row>
    <row r="13" spans="1:9" x14ac:dyDescent="0.25">
      <c r="A13" s="6" t="s">
        <v>11</v>
      </c>
      <c r="B13" s="7">
        <f>B10*B11*B12</f>
        <v>6292</v>
      </c>
    </row>
    <row r="15" spans="1:9" x14ac:dyDescent="0.25">
      <c r="A15" s="34" t="s">
        <v>51</v>
      </c>
      <c r="B15" s="34"/>
    </row>
    <row r="16" spans="1:9" x14ac:dyDescent="0.25">
      <c r="A16" s="34" t="s">
        <v>52</v>
      </c>
      <c r="B16" s="34"/>
    </row>
    <row r="17" spans="1:4" x14ac:dyDescent="0.25">
      <c r="A17" s="35" t="s">
        <v>50</v>
      </c>
      <c r="B17" s="35"/>
    </row>
    <row r="18" spans="1:4" x14ac:dyDescent="0.25">
      <c r="A18" s="35" t="s">
        <v>59</v>
      </c>
      <c r="B18" s="35"/>
    </row>
    <row r="19" spans="1:4" x14ac:dyDescent="0.25">
      <c r="A19" s="32" t="s">
        <v>56</v>
      </c>
      <c r="B19" s="32"/>
      <c r="C19" s="29"/>
      <c r="D19" s="29"/>
    </row>
    <row r="20" spans="1:4" x14ac:dyDescent="0.25">
      <c r="A20" s="32"/>
      <c r="B20" s="32"/>
      <c r="C20" s="29"/>
      <c r="D20" s="29"/>
    </row>
    <row r="21" spans="1:4" x14ac:dyDescent="0.25">
      <c r="A21" s="32"/>
      <c r="B21" s="32"/>
      <c r="C21" s="29"/>
      <c r="D21" s="29"/>
    </row>
    <row r="22" spans="1:4" x14ac:dyDescent="0.25">
      <c r="A22" s="33" t="s">
        <v>57</v>
      </c>
      <c r="B22" s="33"/>
      <c r="C22" s="30"/>
      <c r="D22" s="30"/>
    </row>
    <row r="23" spans="1:4" x14ac:dyDescent="0.25">
      <c r="A23" s="33"/>
      <c r="B23" s="33"/>
      <c r="C23" s="30"/>
      <c r="D23" s="30"/>
    </row>
    <row r="24" spans="1:4" x14ac:dyDescent="0.25">
      <c r="A24" s="33"/>
      <c r="B24" s="33"/>
      <c r="C24" s="30"/>
      <c r="D24" s="30"/>
    </row>
  </sheetData>
  <mergeCells count="10">
    <mergeCell ref="A1:B1"/>
    <mergeCell ref="E3:G8"/>
    <mergeCell ref="E11:I11"/>
    <mergeCell ref="E12:I12"/>
    <mergeCell ref="A15:B15"/>
    <mergeCell ref="A19:B21"/>
    <mergeCell ref="A22:B24"/>
    <mergeCell ref="A16:B16"/>
    <mergeCell ref="A17:B17"/>
    <mergeCell ref="A18:B18"/>
  </mergeCell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6"/>
  <sheetViews>
    <sheetView workbookViewId="0">
      <selection activeCell="A10" sqref="A10"/>
    </sheetView>
  </sheetViews>
  <sheetFormatPr defaultRowHeight="15" x14ac:dyDescent="0.25"/>
  <cols>
    <col min="1" max="1" width="37.5703125" customWidth="1"/>
    <col min="2" max="2" width="11.140625" bestFit="1" customWidth="1"/>
    <col min="3" max="3" width="10.28515625" customWidth="1"/>
    <col min="4" max="4" width="13.42578125" customWidth="1"/>
  </cols>
  <sheetData>
    <row r="1" spans="1:9" ht="17.25" x14ac:dyDescent="0.3">
      <c r="A1" s="40" t="s">
        <v>13</v>
      </c>
      <c r="B1" s="40"/>
      <c r="C1" s="40"/>
      <c r="D1" s="40"/>
    </row>
    <row r="2" spans="1:9" ht="30" x14ac:dyDescent="0.25">
      <c r="A2" s="23" t="s">
        <v>14</v>
      </c>
      <c r="B2" s="22" t="s">
        <v>15</v>
      </c>
      <c r="C2" s="22" t="s">
        <v>19</v>
      </c>
      <c r="D2" s="22" t="s">
        <v>16</v>
      </c>
    </row>
    <row r="3" spans="1:9" x14ac:dyDescent="0.25">
      <c r="A3" s="4" t="s">
        <v>17</v>
      </c>
      <c r="B3" s="9">
        <v>6.0999999999999999E-2</v>
      </c>
      <c r="C3" s="4">
        <v>3</v>
      </c>
      <c r="D3" s="5">
        <f>B3*C3*1000</f>
        <v>183</v>
      </c>
      <c r="F3" s="20" t="s">
        <v>43</v>
      </c>
      <c r="G3" s="32" t="s">
        <v>45</v>
      </c>
      <c r="H3" s="32"/>
      <c r="I3" s="32"/>
    </row>
    <row r="4" spans="1:9" x14ac:dyDescent="0.25">
      <c r="A4" s="4" t="s">
        <v>18</v>
      </c>
      <c r="B4" s="9">
        <v>0.26390000000000002</v>
      </c>
      <c r="C4" s="4">
        <v>3</v>
      </c>
      <c r="D4" s="5">
        <f t="shared" ref="D4:D18" si="0">B4*C4*1000</f>
        <v>791.7</v>
      </c>
      <c r="F4" s="20" t="s">
        <v>43</v>
      </c>
      <c r="G4" s="32"/>
      <c r="H4" s="32"/>
      <c r="I4" s="32"/>
    </row>
    <row r="5" spans="1:9" x14ac:dyDescent="0.25">
      <c r="A5" s="4" t="s">
        <v>20</v>
      </c>
      <c r="B5" s="9">
        <v>0.62</v>
      </c>
      <c r="C5" s="4">
        <v>1</v>
      </c>
      <c r="D5" s="5">
        <f t="shared" ref="D5:D14" si="1">B5*C5*1000</f>
        <v>620</v>
      </c>
      <c r="F5" s="20" t="s">
        <v>43</v>
      </c>
      <c r="G5" s="32"/>
      <c r="H5" s="32"/>
      <c r="I5" s="32"/>
    </row>
    <row r="6" spans="1:9" x14ac:dyDescent="0.25">
      <c r="A6" s="4" t="s">
        <v>60</v>
      </c>
      <c r="B6" s="9">
        <v>6.1000000000000004E-3</v>
      </c>
      <c r="C6" s="4">
        <v>6</v>
      </c>
      <c r="D6" s="5">
        <f t="shared" si="1"/>
        <v>36.6</v>
      </c>
      <c r="F6" s="20" t="s">
        <v>43</v>
      </c>
      <c r="G6" s="32"/>
      <c r="H6" s="32"/>
      <c r="I6" s="32"/>
    </row>
    <row r="7" spans="1:9" x14ac:dyDescent="0.25">
      <c r="A7" s="4" t="s">
        <v>67</v>
      </c>
      <c r="B7" s="9">
        <v>3.8999999999999998E-3</v>
      </c>
      <c r="C7" s="4">
        <v>2</v>
      </c>
      <c r="D7" s="5">
        <f t="shared" si="1"/>
        <v>7.8</v>
      </c>
      <c r="F7" s="20" t="s">
        <v>43</v>
      </c>
      <c r="G7" s="32"/>
      <c r="H7" s="32"/>
      <c r="I7" s="32"/>
    </row>
    <row r="8" spans="1:9" x14ac:dyDescent="0.25">
      <c r="A8" s="4" t="s">
        <v>68</v>
      </c>
      <c r="B8" s="9">
        <v>6.8000000000000005E-2</v>
      </c>
      <c r="C8" s="4">
        <v>2</v>
      </c>
      <c r="D8" s="5">
        <f t="shared" si="1"/>
        <v>136</v>
      </c>
      <c r="F8" s="20" t="s">
        <v>43</v>
      </c>
      <c r="G8" s="32"/>
      <c r="H8" s="32"/>
      <c r="I8" s="32"/>
    </row>
    <row r="9" spans="1:9" x14ac:dyDescent="0.25">
      <c r="A9" s="4" t="s">
        <v>21</v>
      </c>
      <c r="B9" s="9">
        <v>6.2E-2</v>
      </c>
      <c r="C9" s="4">
        <v>1</v>
      </c>
      <c r="D9" s="5">
        <f t="shared" si="1"/>
        <v>62</v>
      </c>
      <c r="F9" s="20" t="s">
        <v>43</v>
      </c>
      <c r="G9" s="32"/>
      <c r="H9" s="32"/>
      <c r="I9" s="32"/>
    </row>
    <row r="10" spans="1:9" x14ac:dyDescent="0.25">
      <c r="A10" s="4" t="s">
        <v>61</v>
      </c>
      <c r="B10" s="9">
        <v>0.76</v>
      </c>
      <c r="C10" s="4">
        <v>6</v>
      </c>
      <c r="D10" s="5">
        <f t="shared" si="1"/>
        <v>4560.0000000000009</v>
      </c>
      <c r="F10" s="20" t="s">
        <v>43</v>
      </c>
      <c r="G10" s="32"/>
      <c r="H10" s="32"/>
      <c r="I10" s="32"/>
    </row>
    <row r="11" spans="1:9" x14ac:dyDescent="0.25">
      <c r="A11" s="4" t="s">
        <v>63</v>
      </c>
      <c r="B11" s="9">
        <v>4.7999999999999996E-3</v>
      </c>
      <c r="C11" s="4">
        <v>1</v>
      </c>
      <c r="D11" s="5">
        <f t="shared" si="1"/>
        <v>4.8</v>
      </c>
      <c r="F11" s="20" t="s">
        <v>43</v>
      </c>
      <c r="G11" s="32"/>
      <c r="H11" s="32"/>
      <c r="I11" s="32"/>
    </row>
    <row r="12" spans="1:9" x14ac:dyDescent="0.25">
      <c r="A12" s="4" t="s">
        <v>64</v>
      </c>
      <c r="B12" s="9">
        <v>0.22</v>
      </c>
      <c r="C12" s="4">
        <v>2</v>
      </c>
      <c r="D12" s="5">
        <f t="shared" si="1"/>
        <v>440</v>
      </c>
      <c r="F12" s="20" t="s">
        <v>43</v>
      </c>
      <c r="G12" s="32"/>
      <c r="H12" s="32"/>
      <c r="I12" s="32"/>
    </row>
    <row r="13" spans="1:9" x14ac:dyDescent="0.25">
      <c r="A13" s="4" t="s">
        <v>65</v>
      </c>
      <c r="B13" s="9">
        <v>0.11</v>
      </c>
      <c r="C13" s="4">
        <v>1</v>
      </c>
      <c r="D13" s="5">
        <f t="shared" si="1"/>
        <v>110</v>
      </c>
      <c r="F13" s="20" t="s">
        <v>43</v>
      </c>
      <c r="G13" s="32"/>
      <c r="H13" s="32"/>
      <c r="I13" s="32"/>
    </row>
    <row r="14" spans="1:9" x14ac:dyDescent="0.25">
      <c r="A14" s="4" t="s">
        <v>30</v>
      </c>
      <c r="B14" s="9">
        <v>4.7999999999999996E-3</v>
      </c>
      <c r="C14" s="4">
        <v>1</v>
      </c>
      <c r="D14" s="5">
        <f t="shared" si="1"/>
        <v>4.8</v>
      </c>
      <c r="F14" s="20" t="s">
        <v>43</v>
      </c>
      <c r="G14" s="32"/>
      <c r="H14" s="32"/>
      <c r="I14" s="32"/>
    </row>
    <row r="15" spans="1:9" x14ac:dyDescent="0.25">
      <c r="A15" s="4" t="s">
        <v>66</v>
      </c>
      <c r="B15" s="9">
        <v>3.3000000000000002E-2</v>
      </c>
      <c r="C15" s="4">
        <v>1</v>
      </c>
      <c r="D15" s="5">
        <f t="shared" si="0"/>
        <v>33</v>
      </c>
      <c r="F15" s="20" t="s">
        <v>43</v>
      </c>
      <c r="G15" s="32"/>
      <c r="H15" s="32"/>
      <c r="I15" s="32"/>
    </row>
    <row r="16" spans="1:9" x14ac:dyDescent="0.25">
      <c r="A16" s="4" t="s">
        <v>62</v>
      </c>
      <c r="B16" s="9">
        <v>5.0999999999999997E-2</v>
      </c>
      <c r="C16" s="4">
        <v>2</v>
      </c>
      <c r="D16" s="5">
        <f t="shared" si="0"/>
        <v>102</v>
      </c>
      <c r="F16" s="20" t="s">
        <v>43</v>
      </c>
      <c r="G16" s="32"/>
      <c r="H16" s="32"/>
      <c r="I16" s="32"/>
    </row>
    <row r="17" spans="1:9" x14ac:dyDescent="0.25">
      <c r="A17" s="4"/>
      <c r="B17" s="9"/>
      <c r="C17" s="4"/>
      <c r="D17" s="5"/>
      <c r="F17" s="20" t="s">
        <v>43</v>
      </c>
      <c r="G17" s="32"/>
      <c r="H17" s="32"/>
      <c r="I17" s="32"/>
    </row>
    <row r="18" spans="1:9" x14ac:dyDescent="0.25">
      <c r="A18" s="4" t="s">
        <v>22</v>
      </c>
      <c r="B18" s="9">
        <v>4</v>
      </c>
      <c r="C18" s="4">
        <v>1</v>
      </c>
      <c r="D18" s="5">
        <f t="shared" si="0"/>
        <v>4000</v>
      </c>
      <c r="F18" s="20" t="s">
        <v>43</v>
      </c>
      <c r="G18" s="32"/>
      <c r="H18" s="32"/>
      <c r="I18" s="32"/>
    </row>
    <row r="19" spans="1:9" x14ac:dyDescent="0.25">
      <c r="A19" s="4"/>
      <c r="B19" s="4"/>
    </row>
    <row r="20" spans="1:9" x14ac:dyDescent="0.25">
      <c r="A20" s="4" t="s">
        <v>23</v>
      </c>
      <c r="B20" s="10">
        <f>B3*C3+B4*C4+B6*C6+B15*C15+B5*C5+B12*C12+B16*C16+B7*C7+B13*C13+B14*C14+B8*C8+B17*C17+B9*C9+B11*C11+B10*C10+B18*C18</f>
        <v>11.091699999999999</v>
      </c>
    </row>
    <row r="21" spans="1:9" ht="15" customHeight="1" x14ac:dyDescent="0.25">
      <c r="A21" s="4" t="s">
        <v>24</v>
      </c>
      <c r="B21" s="11">
        <f>(SUM(C3:C18))*(4.45*10^-4)</f>
        <v>1.4685E-2</v>
      </c>
      <c r="D21" s="17" t="s">
        <v>43</v>
      </c>
      <c r="E21" s="38" t="s">
        <v>47</v>
      </c>
      <c r="F21" s="38"/>
      <c r="G21" s="38"/>
      <c r="H21" s="38"/>
    </row>
    <row r="22" spans="1:9" ht="15" customHeight="1" x14ac:dyDescent="0.25">
      <c r="A22" s="4" t="s">
        <v>25</v>
      </c>
      <c r="B22" s="10">
        <f>B20*0.055</f>
        <v>0.61004349999999996</v>
      </c>
      <c r="D22" s="17" t="s">
        <v>43</v>
      </c>
      <c r="E22" s="38" t="s">
        <v>46</v>
      </c>
      <c r="F22" s="38"/>
      <c r="G22" s="38"/>
      <c r="H22" s="38"/>
    </row>
    <row r="23" spans="1:9" x14ac:dyDescent="0.25">
      <c r="A23" s="4" t="s">
        <v>26</v>
      </c>
      <c r="B23" s="10">
        <f>B20+B21+B22</f>
        <v>11.716428499999999</v>
      </c>
    </row>
    <row r="24" spans="1:9" x14ac:dyDescent="0.25">
      <c r="A24" s="4" t="s">
        <v>49</v>
      </c>
      <c r="B24" s="21">
        <v>1000</v>
      </c>
    </row>
    <row r="25" spans="1:9" ht="15" customHeight="1" x14ac:dyDescent="0.25">
      <c r="A25" s="4"/>
      <c r="B25" s="4"/>
    </row>
    <row r="26" spans="1:9" ht="24.75" customHeight="1" x14ac:dyDescent="0.25">
      <c r="A26" s="23" t="s">
        <v>42</v>
      </c>
      <c r="B26" s="24">
        <f>(B20+B21+B22)*1000</f>
        <v>11716.4285</v>
      </c>
      <c r="D26" s="25"/>
      <c r="E26" s="25"/>
      <c r="F26" s="25"/>
      <c r="G26" s="25"/>
      <c r="H26" s="25"/>
    </row>
  </sheetData>
  <mergeCells count="4">
    <mergeCell ref="E22:H22"/>
    <mergeCell ref="E21:H21"/>
    <mergeCell ref="A1:D1"/>
    <mergeCell ref="G3:I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"/>
  <sheetViews>
    <sheetView tabSelected="1" workbookViewId="0">
      <selection activeCell="E11" sqref="E11"/>
    </sheetView>
  </sheetViews>
  <sheetFormatPr defaultRowHeight="15" x14ac:dyDescent="0.25"/>
  <cols>
    <col min="1" max="1" width="30.140625" bestFit="1" customWidth="1"/>
    <col min="2" max="2" width="12.42578125" customWidth="1"/>
    <col min="3" max="3" width="13.42578125" customWidth="1"/>
    <col min="4" max="4" width="9.42578125" customWidth="1"/>
    <col min="5" max="5" width="15.85546875" customWidth="1"/>
  </cols>
  <sheetData>
    <row r="1" spans="1:11" ht="17.25" x14ac:dyDescent="0.3">
      <c r="A1" s="40" t="s">
        <v>27</v>
      </c>
      <c r="B1" s="40"/>
      <c r="C1" s="40"/>
      <c r="D1" s="40"/>
      <c r="E1" s="40"/>
    </row>
    <row r="2" spans="1:11" ht="45" x14ac:dyDescent="0.25">
      <c r="A2" s="23" t="s">
        <v>14</v>
      </c>
      <c r="B2" s="22" t="s">
        <v>28</v>
      </c>
      <c r="C2" s="22" t="s">
        <v>29</v>
      </c>
      <c r="D2" s="22" t="s">
        <v>19</v>
      </c>
      <c r="E2" s="22" t="s">
        <v>31</v>
      </c>
      <c r="G2" s="41" t="s">
        <v>58</v>
      </c>
      <c r="H2" s="41"/>
      <c r="I2" s="41"/>
      <c r="J2" s="41"/>
      <c r="K2" s="41"/>
    </row>
    <row r="3" spans="1:11" ht="15" customHeight="1" x14ac:dyDescent="0.25">
      <c r="A3" s="4" t="str">
        <f>'Component Costs'!A3</f>
        <v>2N7000FS-ND MOSFET</v>
      </c>
      <c r="B3" s="4">
        <v>3</v>
      </c>
      <c r="C3" s="12">
        <f>B3*(0.0033)</f>
        <v>9.8999999999999991E-3</v>
      </c>
      <c r="D3" s="4">
        <f>'Component Costs'!C3</f>
        <v>3</v>
      </c>
      <c r="E3" s="12">
        <f>C3*D3</f>
        <v>2.9699999999999997E-2</v>
      </c>
      <c r="G3" s="41"/>
      <c r="H3" s="41"/>
      <c r="I3" s="41"/>
      <c r="J3" s="41"/>
      <c r="K3" s="41"/>
    </row>
    <row r="4" spans="1:11" ht="15" customHeight="1" x14ac:dyDescent="0.25">
      <c r="A4" s="4" t="str">
        <f>'Component Costs'!A4</f>
        <v>LF351DT MOSFET</v>
      </c>
      <c r="B4" s="4">
        <v>6</v>
      </c>
      <c r="C4" s="12">
        <f t="shared" ref="C4:C17" si="0">B4*(0.0033)</f>
        <v>1.9799999999999998E-2</v>
      </c>
      <c r="D4" s="4">
        <f>'Component Costs'!C4</f>
        <v>3</v>
      </c>
      <c r="E4" s="12">
        <f t="shared" ref="E4:E17" si="1">C4*D4</f>
        <v>5.9399999999999994E-2</v>
      </c>
      <c r="G4" s="41"/>
      <c r="H4" s="41"/>
      <c r="I4" s="41"/>
      <c r="J4" s="41"/>
      <c r="K4" s="41"/>
    </row>
    <row r="5" spans="1:11" x14ac:dyDescent="0.25">
      <c r="A5" s="4" t="str">
        <f>'Component Costs'!A5</f>
        <v>OP999 PHOTODIODE</v>
      </c>
      <c r="B5" s="4">
        <v>2</v>
      </c>
      <c r="C5" s="12">
        <f t="shared" si="0"/>
        <v>6.6E-3</v>
      </c>
      <c r="D5" s="4">
        <f>'Component Costs'!C5</f>
        <v>1</v>
      </c>
      <c r="E5" s="12">
        <f t="shared" si="1"/>
        <v>6.6E-3</v>
      </c>
      <c r="G5" s="41"/>
      <c r="H5" s="41"/>
      <c r="I5" s="41"/>
      <c r="J5" s="41"/>
      <c r="K5" s="41"/>
    </row>
    <row r="6" spans="1:11" x14ac:dyDescent="0.25">
      <c r="A6" s="4" t="str">
        <f>'Component Costs'!A6</f>
        <v>CERAMIC CAPACITOR 470PF</v>
      </c>
      <c r="B6" s="4">
        <v>2</v>
      </c>
      <c r="C6" s="12">
        <f t="shared" si="0"/>
        <v>6.6E-3</v>
      </c>
      <c r="D6" s="4">
        <f>'Component Costs'!C6</f>
        <v>6</v>
      </c>
      <c r="E6" s="12">
        <f t="shared" si="1"/>
        <v>3.9599999999999996E-2</v>
      </c>
      <c r="G6" s="41"/>
      <c r="H6" s="41"/>
      <c r="I6" s="41"/>
      <c r="J6" s="41"/>
      <c r="K6" s="41"/>
    </row>
    <row r="7" spans="1:11" x14ac:dyDescent="0.25">
      <c r="A7" s="4" t="str">
        <f>'Component Costs'!A7</f>
        <v>CERAMIC CAPACITOR 10NF</v>
      </c>
      <c r="B7" s="4">
        <v>2</v>
      </c>
      <c r="C7" s="12">
        <f t="shared" si="0"/>
        <v>6.6E-3</v>
      </c>
      <c r="D7" s="4">
        <f>'Component Costs'!C7</f>
        <v>2</v>
      </c>
      <c r="E7" s="12">
        <f t="shared" si="1"/>
        <v>1.32E-2</v>
      </c>
    </row>
    <row r="8" spans="1:11" x14ac:dyDescent="0.25">
      <c r="A8" s="4" t="str">
        <f>'Component Costs'!A8</f>
        <v>CERAMIC CAPACITOR 2UF</v>
      </c>
      <c r="B8" s="4">
        <v>2</v>
      </c>
      <c r="C8" s="12">
        <f t="shared" si="0"/>
        <v>6.6E-3</v>
      </c>
      <c r="D8" s="4">
        <f>'Component Costs'!C8</f>
        <v>2</v>
      </c>
      <c r="E8" s="12">
        <f t="shared" si="1"/>
        <v>1.32E-2</v>
      </c>
    </row>
    <row r="9" spans="1:11" x14ac:dyDescent="0.25">
      <c r="A9" s="4" t="str">
        <f>'Component Costs'!A9</f>
        <v>CERAMIC CAPACITOR 10UF</v>
      </c>
      <c r="B9" s="4">
        <v>2</v>
      </c>
      <c r="C9" s="12">
        <f t="shared" si="0"/>
        <v>6.6E-3</v>
      </c>
      <c r="D9" s="4">
        <f>'Component Costs'!C9</f>
        <v>1</v>
      </c>
      <c r="E9" s="12">
        <f t="shared" si="1"/>
        <v>6.6E-3</v>
      </c>
    </row>
    <row r="10" spans="1:11" x14ac:dyDescent="0.25">
      <c r="A10" s="4" t="str">
        <f>'Component Costs'!A10</f>
        <v>LF347 OP AMP</v>
      </c>
      <c r="B10" s="4">
        <v>2</v>
      </c>
      <c r="C10" s="12">
        <f t="shared" si="0"/>
        <v>6.6E-3</v>
      </c>
      <c r="D10" s="4">
        <f>'Component Costs'!C10</f>
        <v>6</v>
      </c>
      <c r="E10" s="12">
        <f t="shared" si="1"/>
        <v>3.9599999999999996E-2</v>
      </c>
    </row>
    <row r="11" spans="1:11" x14ac:dyDescent="0.25">
      <c r="A11" s="4" t="str">
        <f>'Component Costs'!A11</f>
        <v>2.7K OHM 1/4W RESISTOR</v>
      </c>
      <c r="B11" s="4">
        <v>2</v>
      </c>
      <c r="C11" s="12">
        <f t="shared" si="0"/>
        <v>6.6E-3</v>
      </c>
      <c r="D11" s="4">
        <f>'Component Costs'!C11</f>
        <v>1</v>
      </c>
      <c r="E11" s="12">
        <f t="shared" si="1"/>
        <v>6.6E-3</v>
      </c>
    </row>
    <row r="12" spans="1:11" x14ac:dyDescent="0.25">
      <c r="A12" s="4" t="str">
        <f>'Component Costs'!A12</f>
        <v>4.3K OHM 1/4W RESISTOR</v>
      </c>
      <c r="B12" s="4">
        <v>2</v>
      </c>
      <c r="C12" s="12">
        <f t="shared" si="0"/>
        <v>6.6E-3</v>
      </c>
      <c r="D12" s="4">
        <f>'Component Costs'!C12</f>
        <v>2</v>
      </c>
      <c r="E12" s="12">
        <f t="shared" si="1"/>
        <v>1.32E-2</v>
      </c>
    </row>
    <row r="13" spans="1:11" x14ac:dyDescent="0.25">
      <c r="A13" s="4" t="str">
        <f>'Component Costs'!A13</f>
        <v>160K OHM 1/4W RESISTOR</v>
      </c>
      <c r="B13" s="4">
        <v>2</v>
      </c>
      <c r="C13" s="12">
        <f t="shared" si="0"/>
        <v>6.6E-3</v>
      </c>
      <c r="D13" s="4">
        <f>'Component Costs'!C13</f>
        <v>1</v>
      </c>
      <c r="E13" s="12">
        <f t="shared" si="1"/>
        <v>6.6E-3</v>
      </c>
    </row>
    <row r="14" spans="1:11" x14ac:dyDescent="0.25">
      <c r="A14" s="4" t="str">
        <f>'Component Costs'!A14</f>
        <v>20K OHM 1/4W RESISTOR</v>
      </c>
      <c r="B14" s="4">
        <v>2</v>
      </c>
      <c r="C14" s="12">
        <f t="shared" si="0"/>
        <v>6.6E-3</v>
      </c>
      <c r="D14" s="4">
        <f>'Component Costs'!C14</f>
        <v>1</v>
      </c>
      <c r="E14" s="12">
        <f t="shared" si="1"/>
        <v>6.6E-3</v>
      </c>
    </row>
    <row r="15" spans="1:11" x14ac:dyDescent="0.25">
      <c r="A15" s="4" t="str">
        <f>'Component Costs'!A15</f>
        <v>100K OHM 1/4W RESISTOR</v>
      </c>
      <c r="B15" s="4">
        <v>2</v>
      </c>
      <c r="C15" s="12">
        <f t="shared" si="0"/>
        <v>6.6E-3</v>
      </c>
      <c r="D15" s="4">
        <f>'Component Costs'!C15</f>
        <v>1</v>
      </c>
      <c r="E15" s="12">
        <f t="shared" si="1"/>
        <v>6.6E-3</v>
      </c>
    </row>
    <row r="16" spans="1:11" x14ac:dyDescent="0.25">
      <c r="A16" s="4" t="str">
        <f>'Component Costs'!A16</f>
        <v>170K OHM 1/4W RESISTOR</v>
      </c>
      <c r="B16" s="4">
        <v>2</v>
      </c>
      <c r="C16" s="12">
        <f t="shared" si="0"/>
        <v>6.6E-3</v>
      </c>
      <c r="D16" s="4">
        <f>'Component Costs'!C16</f>
        <v>2</v>
      </c>
      <c r="E16" s="12">
        <f t="shared" si="1"/>
        <v>1.32E-2</v>
      </c>
    </row>
    <row r="17" spans="1:7" x14ac:dyDescent="0.25">
      <c r="A17" s="4">
        <f>'Component Costs'!A17</f>
        <v>0</v>
      </c>
      <c r="B17" s="4">
        <v>2</v>
      </c>
      <c r="C17" s="12">
        <f t="shared" si="0"/>
        <v>6.6E-3</v>
      </c>
      <c r="D17" s="4">
        <f>'Component Costs'!C17</f>
        <v>0</v>
      </c>
      <c r="E17" s="12">
        <f t="shared" si="1"/>
        <v>0</v>
      </c>
      <c r="G17" s="31"/>
    </row>
    <row r="18" spans="1:7" x14ac:dyDescent="0.25">
      <c r="A18" s="4"/>
      <c r="B18" s="4"/>
    </row>
    <row r="19" spans="1:7" x14ac:dyDescent="0.25">
      <c r="A19" s="4" t="s">
        <v>32</v>
      </c>
      <c r="B19" s="13">
        <f>SUM(E3:E17)</f>
        <v>0.26069999999999993</v>
      </c>
      <c r="C19" s="2"/>
    </row>
    <row r="20" spans="1:7" x14ac:dyDescent="0.25">
      <c r="A20" s="4" t="s">
        <v>33</v>
      </c>
      <c r="B20" s="14">
        <v>0.2</v>
      </c>
      <c r="C20" s="1"/>
      <c r="D20" s="26"/>
      <c r="E20" s="25"/>
      <c r="F20" s="25"/>
    </row>
    <row r="21" spans="1:7" x14ac:dyDescent="0.25">
      <c r="A21" s="4"/>
      <c r="B21" s="8"/>
    </row>
    <row r="22" spans="1:7" x14ac:dyDescent="0.25">
      <c r="A22" s="23" t="s">
        <v>41</v>
      </c>
      <c r="B22" s="27">
        <f>(B19*'Component Costs'!B24)+(B20*'Component Costs'!B24)</f>
        <v>460.69999999999993</v>
      </c>
    </row>
  </sheetData>
  <mergeCells count="2">
    <mergeCell ref="A1:E1"/>
    <mergeCell ref="G2:K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B6" sqref="B6"/>
    </sheetView>
  </sheetViews>
  <sheetFormatPr defaultRowHeight="15" x14ac:dyDescent="0.25"/>
  <cols>
    <col min="1" max="1" width="36.140625" bestFit="1" customWidth="1"/>
    <col min="2" max="2" width="13" customWidth="1"/>
  </cols>
  <sheetData>
    <row r="1" spans="1:10" ht="17.25" x14ac:dyDescent="0.3">
      <c r="A1" s="40" t="s">
        <v>34</v>
      </c>
      <c r="B1" s="40"/>
    </row>
    <row r="2" spans="1:10" ht="15" customHeight="1" x14ac:dyDescent="0.25">
      <c r="A2" s="4" t="s">
        <v>35</v>
      </c>
      <c r="B2" s="5">
        <f>'NRE Costs'!B13</f>
        <v>6292</v>
      </c>
      <c r="D2" s="18" t="s">
        <v>43</v>
      </c>
      <c r="E2" s="33" t="s">
        <v>55</v>
      </c>
      <c r="F2" s="33"/>
      <c r="G2" s="33"/>
    </row>
    <row r="3" spans="1:10" x14ac:dyDescent="0.25">
      <c r="A3" s="4" t="s">
        <v>36</v>
      </c>
      <c r="B3" s="5">
        <f>'Component Costs'!B26+'Assembly Costs'!B22</f>
        <v>12177.128500000001</v>
      </c>
      <c r="D3" s="18" t="s">
        <v>43</v>
      </c>
      <c r="E3" s="33"/>
      <c r="F3" s="33"/>
      <c r="G3" s="33"/>
    </row>
    <row r="4" spans="1:10" x14ac:dyDescent="0.25">
      <c r="A4" s="4" t="s">
        <v>37</v>
      </c>
      <c r="B4" s="5">
        <f>0.2*(B2+B3)</f>
        <v>3693.8256999999999</v>
      </c>
      <c r="D4" s="18" t="s">
        <v>43</v>
      </c>
      <c r="E4" s="33"/>
      <c r="F4" s="33"/>
      <c r="G4" s="33"/>
    </row>
    <row r="5" spans="1:10" x14ac:dyDescent="0.25">
      <c r="A5" s="4" t="s">
        <v>38</v>
      </c>
      <c r="B5" s="16">
        <v>0.15</v>
      </c>
      <c r="D5" s="20" t="s">
        <v>43</v>
      </c>
      <c r="E5" s="39" t="s">
        <v>54</v>
      </c>
      <c r="F5" s="39"/>
      <c r="G5" s="39"/>
    </row>
    <row r="6" spans="1:10" x14ac:dyDescent="0.25">
      <c r="A6" s="4"/>
      <c r="B6" s="4"/>
    </row>
    <row r="7" spans="1:10" x14ac:dyDescent="0.25">
      <c r="A7" s="6" t="s">
        <v>39</v>
      </c>
      <c r="B7" s="15">
        <f>(1+B5)*(SUM(B2:B4))</f>
        <v>25487.39733</v>
      </c>
    </row>
    <row r="8" spans="1:10" ht="15" customHeight="1" x14ac:dyDescent="0.25">
      <c r="A8" s="6" t="s">
        <v>40</v>
      </c>
      <c r="B8" s="15">
        <f>B7/'Component Costs'!B24</f>
        <v>25.48739733</v>
      </c>
      <c r="D8" s="26"/>
      <c r="E8" s="28"/>
      <c r="F8" s="28"/>
      <c r="G8" s="28"/>
      <c r="H8" s="28"/>
      <c r="I8" s="28"/>
      <c r="J8" s="28"/>
    </row>
  </sheetData>
  <mergeCells count="3">
    <mergeCell ref="A1:B1"/>
    <mergeCell ref="E2:G4"/>
    <mergeCell ref="E5:G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NRE Costs</vt:lpstr>
      <vt:lpstr>Component Costs</vt:lpstr>
      <vt:lpstr>Assembly Costs</vt:lpstr>
      <vt:lpstr>Pricing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sraymond94@gmail.com</dc:creator>
  <cp:lastModifiedBy>Null_space</cp:lastModifiedBy>
  <dcterms:created xsi:type="dcterms:W3CDTF">2014-11-21T18:34:30Z</dcterms:created>
  <dcterms:modified xsi:type="dcterms:W3CDTF">2017-12-08T17:33:23Z</dcterms:modified>
</cp:coreProperties>
</file>